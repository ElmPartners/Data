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mes\Downloads\"/>
    </mc:Choice>
  </mc:AlternateContent>
  <xr:revisionPtr revIDLastSave="0" documentId="13_ncr:1_{555A5A8D-279A-428D-A0F8-8720474BC464}" xr6:coauthVersionLast="45" xr6:coauthVersionMax="45" xr10:uidLastSave="{00000000-0000-0000-0000-000000000000}"/>
  <bookViews>
    <workbookView xWindow="-110" yWindow="-110" windowWidth="22780" windowHeight="14660" xr2:uid="{00000000-000D-0000-FFFF-FFFF00000000}"/>
  </bookViews>
  <sheets>
    <sheet name="Alan_Cova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" l="1"/>
  <c r="D3" i="1"/>
  <c r="R9" i="1"/>
  <c r="Q8" i="1"/>
  <c r="Q7" i="1"/>
  <c r="Q6" i="1"/>
  <c r="Q5" i="1"/>
  <c r="Q4" i="1"/>
  <c r="Q3" i="1"/>
  <c r="Q2" i="1"/>
  <c r="H3" i="1"/>
  <c r="H2" i="1"/>
  <c r="R2" i="1" s="1"/>
  <c r="R3" i="1"/>
  <c r="R7" i="1"/>
  <c r="R6" i="1"/>
  <c r="R5" i="1"/>
  <c r="R4" i="1"/>
  <c r="L3" i="1"/>
  <c r="K3" i="1"/>
  <c r="J3" i="1"/>
  <c r="I3" i="1"/>
  <c r="L2" i="1"/>
  <c r="K2" i="1"/>
  <c r="J2" i="1"/>
  <c r="I2" i="1"/>
  <c r="O2" i="1" l="1"/>
  <c r="F6" i="1" l="1"/>
  <c r="G6" i="1"/>
  <c r="H6" i="1"/>
  <c r="I6" i="1"/>
  <c r="L9" i="1"/>
  <c r="K9" i="1"/>
  <c r="J9" i="1"/>
  <c r="I9" i="1"/>
  <c r="H9" i="1"/>
  <c r="G9" i="1"/>
  <c r="F9" i="1"/>
  <c r="K8" i="1"/>
  <c r="J8" i="1"/>
  <c r="I8" i="1"/>
  <c r="H8" i="1"/>
  <c r="R8" i="1" s="1"/>
  <c r="G8" i="1"/>
  <c r="F8" i="1"/>
  <c r="J7" i="1"/>
  <c r="I7" i="1"/>
  <c r="H7" i="1"/>
  <c r="G7" i="1"/>
  <c r="F7" i="1"/>
  <c r="H5" i="1"/>
  <c r="G5" i="1"/>
  <c r="F5" i="1"/>
  <c r="G4" i="1"/>
  <c r="F4" i="1"/>
  <c r="F3" i="1"/>
  <c r="P3" i="1"/>
  <c r="P4" i="1"/>
  <c r="P5" i="1" s="1"/>
  <c r="P6" i="1" s="1"/>
  <c r="P7" i="1" s="1"/>
  <c r="P8" i="1" s="1"/>
  <c r="P9" i="1" s="1"/>
  <c r="O3" i="1" l="1"/>
  <c r="O4" i="1"/>
  <c r="O5" i="1"/>
  <c r="O6" i="1"/>
  <c r="O9" i="1"/>
  <c r="O7" i="1"/>
  <c r="O8" i="1"/>
</calcChain>
</file>

<file path=xl/sharedStrings.xml><?xml version="1.0" encoding="utf-8"?>
<sst xmlns="http://schemas.openxmlformats.org/spreadsheetml/2006/main" count="25" uniqueCount="17">
  <si>
    <t>Use</t>
  </si>
  <si>
    <t>E[r]</t>
  </si>
  <si>
    <t>Sigma</t>
  </si>
  <si>
    <t>HF</t>
  </si>
  <si>
    <t>BHMC</t>
  </si>
  <si>
    <t>Equity</t>
  </si>
  <si>
    <t>RE</t>
  </si>
  <si>
    <t>FI</t>
  </si>
  <si>
    <t>Art</t>
  </si>
  <si>
    <t>Bitcoin</t>
  </si>
  <si>
    <t>Cash</t>
  </si>
  <si>
    <t>Det</t>
  </si>
  <si>
    <t>Correl</t>
  </si>
  <si>
    <t>Crisis Beta</t>
  </si>
  <si>
    <t>assuiming FI is VC?</t>
  </si>
  <si>
    <t>Beta vs Equity Market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</si>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</sst>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/>
    <xf numFmtId="0" fontId="19" fillId="0" borderId="0" xfId="0" applyFont="1"/>
    <xf numFmtId="9" fontId="19" fillId="0" borderId="0" xfId="0" applyNumberFormat="1" applyFont="1"/>
    <xf numFmtId="10" fontId="19" fillId="0" borderId="0" xfId="0" applyNumberFormat="1" applyFont="1"/>
    <xf numFmtId="164" fontId="19" fillId="0" borderId="0" xfId="0" applyNumberFormat="1" applyFont="1"/>
    <xf numFmtId="0" fontId="20" fillId="0" borderId="0" xfId="0" applyFont="1"/>
    <xf numFmtId="43" fontId="20" fillId="0" borderId="0" xfId="1" applyFont="1"/>
    <xf numFmtId="43" fontId="0" fillId="0" borderId="0" xfId="1" applyFont="1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43" fontId="0" fillId="33" borderId="0" xfId="1" applyFont="1" applyFill="1"/>
    <xf numFmtId="2" fontId="19" fillId="0" borderId="0" xfId="0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1"/>
  <sheetViews>
    <sheetView tabSelected="1" workbookViewId="0">
      <selection activeCell="C10" sqref="C10"/>
    </sheetView>
  </sheetViews>
  <sheetFormatPr defaultRowHeight="14.5" x14ac:dyDescent="0.35"/>
  <cols>
    <col min="4" max="4" width="9.36328125" bestFit="1" customWidth="1"/>
    <col min="17" max="17" width="9.453125" customWidth="1"/>
  </cols>
  <sheetData>
    <row r="1" spans="1:18" ht="43.5" x14ac:dyDescent="0.35">
      <c r="A1" t="s">
        <v>0</v>
      </c>
      <c r="B1" t="s">
        <v>1</v>
      </c>
      <c r="C1" t="s">
        <v>2</v>
      </c>
      <c r="D1" t="s">
        <v>13</v>
      </c>
      <c r="E1" t="s">
        <v>12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O1" s="6" t="s">
        <v>11</v>
      </c>
      <c r="Q1" s="9" t="s">
        <v>16</v>
      </c>
      <c r="R1" s="10" t="s">
        <v>15</v>
      </c>
    </row>
    <row r="2" spans="1:18" x14ac:dyDescent="0.35">
      <c r="A2" s="2">
        <v>1</v>
      </c>
      <c r="B2" s="3">
        <v>0.1</v>
      </c>
      <c r="C2" s="4">
        <v>0.12</v>
      </c>
      <c r="D2" s="5">
        <f>-0.6</f>
        <v>-0.6</v>
      </c>
      <c r="E2" t="s">
        <v>3</v>
      </c>
      <c r="F2">
        <v>1</v>
      </c>
      <c r="G2" s="2">
        <v>0.8</v>
      </c>
      <c r="H2" s="2">
        <f>-0.5</f>
        <v>-0.5</v>
      </c>
      <c r="I2" s="2">
        <f>-0.3</f>
        <v>-0.3</v>
      </c>
      <c r="J2" s="2">
        <f t="shared" ref="J2:L3" si="0">-0.2</f>
        <v>-0.2</v>
      </c>
      <c r="K2" s="2">
        <f t="shared" si="0"/>
        <v>-0.2</v>
      </c>
      <c r="L2" s="2">
        <f t="shared" si="0"/>
        <v>-0.2</v>
      </c>
      <c r="M2" s="2">
        <v>0</v>
      </c>
      <c r="O2" s="7">
        <f ca="1">MDETERM(OFFSET($F$2,0,0,P2,P2))</f>
        <v>1</v>
      </c>
      <c r="P2" s="1">
        <v>1</v>
      </c>
      <c r="Q2" s="8">
        <f>B2/C2</f>
        <v>0.83333333333333337</v>
      </c>
      <c r="R2" s="8">
        <f>C2/$C$4*H2</f>
        <v>-0.33333333333333331</v>
      </c>
    </row>
    <row r="3" spans="1:18" x14ac:dyDescent="0.35">
      <c r="A3" s="2">
        <v>1</v>
      </c>
      <c r="B3" s="3">
        <v>0.1</v>
      </c>
      <c r="C3" s="4">
        <v>0.3</v>
      </c>
      <c r="D3" s="5">
        <f>-0.1</f>
        <v>-0.1</v>
      </c>
      <c r="E3" t="s">
        <v>4</v>
      </c>
      <c r="F3">
        <f>G2</f>
        <v>0.8</v>
      </c>
      <c r="G3">
        <v>1</v>
      </c>
      <c r="H3" s="2">
        <f>-0.3</f>
        <v>-0.3</v>
      </c>
      <c r="I3" s="2">
        <f>-0.3</f>
        <v>-0.3</v>
      </c>
      <c r="J3" s="2">
        <f t="shared" si="0"/>
        <v>-0.2</v>
      </c>
      <c r="K3" s="2">
        <f t="shared" si="0"/>
        <v>-0.2</v>
      </c>
      <c r="L3" s="2">
        <f t="shared" si="0"/>
        <v>-0.2</v>
      </c>
      <c r="M3" s="2">
        <v>0</v>
      </c>
      <c r="O3" s="7">
        <f t="shared" ref="O3:O9" ca="1" si="1">MDETERM(OFFSET($F$2,0,0,P3,P3))</f>
        <v>0.35999999999999988</v>
      </c>
      <c r="P3" s="1">
        <f t="shared" ref="P3:P9" si="2">P2+1</f>
        <v>2</v>
      </c>
      <c r="Q3" s="11">
        <f t="shared" ref="Q3:Q8" si="3">B3/C3</f>
        <v>0.33333333333333337</v>
      </c>
      <c r="R3" s="8">
        <f t="shared" ref="R3:R9" si="4">C3/$C$4*H3</f>
        <v>-0.5</v>
      </c>
    </row>
    <row r="4" spans="1:18" x14ac:dyDescent="0.35">
      <c r="A4" s="2">
        <v>1</v>
      </c>
      <c r="B4" s="3">
        <v>0.06</v>
      </c>
      <c r="C4" s="4">
        <v>0.18</v>
      </c>
      <c r="D4" s="5">
        <v>1</v>
      </c>
      <c r="E4" t="s">
        <v>5</v>
      </c>
      <c r="F4">
        <f>H2</f>
        <v>-0.5</v>
      </c>
      <c r="G4">
        <f>H3</f>
        <v>-0.3</v>
      </c>
      <c r="H4">
        <v>1</v>
      </c>
      <c r="I4" s="2">
        <v>0.7</v>
      </c>
      <c r="J4" s="2">
        <v>0.8</v>
      </c>
      <c r="K4" s="2">
        <v>0.6</v>
      </c>
      <c r="L4" s="2">
        <v>0.3</v>
      </c>
      <c r="M4" s="2">
        <v>0</v>
      </c>
      <c r="O4" s="7">
        <f t="shared" ca="1" si="1"/>
        <v>0.2599999999999999</v>
      </c>
      <c r="P4" s="1">
        <f t="shared" si="2"/>
        <v>3</v>
      </c>
      <c r="Q4" s="8">
        <f t="shared" si="3"/>
        <v>0.33333333333333331</v>
      </c>
      <c r="R4" s="8">
        <f t="shared" si="4"/>
        <v>1</v>
      </c>
    </row>
    <row r="5" spans="1:18" x14ac:dyDescent="0.35">
      <c r="A5" s="2">
        <v>1</v>
      </c>
      <c r="B5" s="3">
        <v>0.06</v>
      </c>
      <c r="C5" s="4">
        <v>0.22</v>
      </c>
      <c r="D5" s="5">
        <v>1</v>
      </c>
      <c r="E5" t="s">
        <v>6</v>
      </c>
      <c r="F5">
        <f>I2</f>
        <v>-0.3</v>
      </c>
      <c r="G5">
        <f>I3</f>
        <v>-0.3</v>
      </c>
      <c r="H5">
        <f>I4</f>
        <v>0.7</v>
      </c>
      <c r="I5">
        <v>1</v>
      </c>
      <c r="J5" s="2">
        <v>0.6</v>
      </c>
      <c r="K5" s="2">
        <v>0.5</v>
      </c>
      <c r="L5" s="2">
        <v>0.3</v>
      </c>
      <c r="M5" s="2">
        <v>0</v>
      </c>
      <c r="O5" s="7">
        <f t="shared" ca="1" si="1"/>
        <v>0.11839999999999996</v>
      </c>
      <c r="P5" s="1">
        <f t="shared" si="2"/>
        <v>4</v>
      </c>
      <c r="Q5" s="8">
        <f t="shared" si="3"/>
        <v>0.27272727272727271</v>
      </c>
      <c r="R5" s="8">
        <f t="shared" si="4"/>
        <v>0.85555555555555562</v>
      </c>
    </row>
    <row r="6" spans="1:18" x14ac:dyDescent="0.35">
      <c r="A6" s="2">
        <v>1</v>
      </c>
      <c r="B6" s="3">
        <v>0.08</v>
      </c>
      <c r="C6" s="4">
        <v>0.4</v>
      </c>
      <c r="D6" s="5">
        <v>1.2</v>
      </c>
      <c r="E6" t="s">
        <v>7</v>
      </c>
      <c r="F6">
        <f>J2</f>
        <v>-0.2</v>
      </c>
      <c r="G6">
        <f>J3</f>
        <v>-0.2</v>
      </c>
      <c r="H6">
        <f>J4</f>
        <v>0.8</v>
      </c>
      <c r="I6">
        <f>J5</f>
        <v>0.6</v>
      </c>
      <c r="J6">
        <v>1</v>
      </c>
      <c r="K6" s="2">
        <v>0.5</v>
      </c>
      <c r="L6" s="2">
        <v>0.5</v>
      </c>
      <c r="M6" s="2">
        <v>0</v>
      </c>
      <c r="O6" s="7">
        <f t="shared" ca="1" si="1"/>
        <v>3.0079999999999971E-2</v>
      </c>
      <c r="P6" s="1">
        <f t="shared" si="2"/>
        <v>5</v>
      </c>
      <c r="Q6" s="8">
        <f t="shared" si="3"/>
        <v>0.19999999999999998</v>
      </c>
      <c r="R6" s="8">
        <f t="shared" si="4"/>
        <v>1.7777777777777779</v>
      </c>
    </row>
    <row r="7" spans="1:18" x14ac:dyDescent="0.35">
      <c r="A7" s="2">
        <v>1</v>
      </c>
      <c r="B7" s="3">
        <v>0.05</v>
      </c>
      <c r="C7" s="4">
        <v>0.3</v>
      </c>
      <c r="D7" s="12">
        <v>0.75</v>
      </c>
      <c r="E7" t="s">
        <v>8</v>
      </c>
      <c r="F7">
        <f>K2</f>
        <v>-0.2</v>
      </c>
      <c r="G7">
        <f>K3</f>
        <v>-0.2</v>
      </c>
      <c r="H7">
        <f>K4</f>
        <v>0.6</v>
      </c>
      <c r="I7">
        <f>K5</f>
        <v>0.5</v>
      </c>
      <c r="J7">
        <f>K6</f>
        <v>0.5</v>
      </c>
      <c r="K7">
        <v>1</v>
      </c>
      <c r="L7" s="2">
        <v>0.5</v>
      </c>
      <c r="M7" s="2">
        <v>0</v>
      </c>
      <c r="O7" s="7">
        <f t="shared" ca="1" si="1"/>
        <v>1.7543999999999987E-2</v>
      </c>
      <c r="P7" s="1">
        <f t="shared" si="2"/>
        <v>6</v>
      </c>
      <c r="Q7" s="8">
        <f t="shared" si="3"/>
        <v>0.16666666666666669</v>
      </c>
      <c r="R7" s="8">
        <f t="shared" si="4"/>
        <v>1</v>
      </c>
    </row>
    <row r="8" spans="1:18" x14ac:dyDescent="0.35">
      <c r="A8" s="2">
        <v>1</v>
      </c>
      <c r="B8" s="3">
        <v>0.15</v>
      </c>
      <c r="C8" s="4">
        <v>0.8</v>
      </c>
      <c r="D8" s="5">
        <v>0.5</v>
      </c>
      <c r="E8" t="s">
        <v>9</v>
      </c>
      <c r="F8">
        <f>L2</f>
        <v>-0.2</v>
      </c>
      <c r="G8">
        <f>L3</f>
        <v>-0.2</v>
      </c>
      <c r="H8">
        <f>L4</f>
        <v>0.3</v>
      </c>
      <c r="I8">
        <f>L5</f>
        <v>0.3</v>
      </c>
      <c r="J8">
        <f>L6</f>
        <v>0.5</v>
      </c>
      <c r="K8">
        <f>L7</f>
        <v>0.5</v>
      </c>
      <c r="L8">
        <v>1</v>
      </c>
      <c r="M8" s="2">
        <v>0</v>
      </c>
      <c r="O8" s="7">
        <f t="shared" ca="1" si="1"/>
        <v>7.524399999999991E-3</v>
      </c>
      <c r="P8" s="1">
        <f t="shared" si="2"/>
        <v>7</v>
      </c>
      <c r="Q8" s="8">
        <f t="shared" si="3"/>
        <v>0.18749999999999997</v>
      </c>
      <c r="R8" s="8">
        <f t="shared" si="4"/>
        <v>1.3333333333333333</v>
      </c>
    </row>
    <row r="9" spans="1:18" x14ac:dyDescent="0.35">
      <c r="A9" s="2">
        <v>1</v>
      </c>
      <c r="B9" s="3">
        <v>0</v>
      </c>
      <c r="C9" s="4">
        <v>1E-4</v>
      </c>
      <c r="D9" s="5">
        <v>0</v>
      </c>
      <c r="E9" t="s">
        <v>10</v>
      </c>
      <c r="F9">
        <f>M2</f>
        <v>0</v>
      </c>
      <c r="G9">
        <f>M3</f>
        <v>0</v>
      </c>
      <c r="H9">
        <f>M4</f>
        <v>0</v>
      </c>
      <c r="I9">
        <f>M5</f>
        <v>0</v>
      </c>
      <c r="J9">
        <f>M6</f>
        <v>0</v>
      </c>
      <c r="K9">
        <f>M7</f>
        <v>0</v>
      </c>
      <c r="L9">
        <f>M8</f>
        <v>0</v>
      </c>
      <c r="M9">
        <v>1</v>
      </c>
      <c r="O9" s="7">
        <f t="shared" ca="1" si="1"/>
        <v>7.524399999999991E-3</v>
      </c>
      <c r="P9" s="1">
        <f t="shared" si="2"/>
        <v>8</v>
      </c>
      <c r="Q9" s="8"/>
      <c r="R9" s="8">
        <f t="shared" si="4"/>
        <v>0</v>
      </c>
    </row>
    <row r="11" spans="1:18" x14ac:dyDescent="0.35">
      <c r="E1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Alan_Covar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James White</cp:lastModifiedBy>
  <dcterms:created xsi:type="dcterms:W3CDTF">2020-11-26T18:04:53Z</dcterms:created>
  <dcterms:modified xsi:type="dcterms:W3CDTF">2020-11-28T21:38:33Z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08e341db-7b2b-40fc-8cf9-343b9b2921e0</vt:lpwstr>
  </property>
</Properties>
</file>
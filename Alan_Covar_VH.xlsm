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mes\Downloads\"/>
    </mc:Choice>
  </mc:AlternateContent>
  <xr:revisionPtr revIDLastSave="0" documentId="13_ncr:1_{BA34C7A2-8075-4C37-83E0-E6179C9A4DF7}" xr6:coauthVersionLast="45" xr6:coauthVersionMax="45" xr10:uidLastSave="{00000000-0000-0000-0000-000000000000}"/>
  <bookViews>
    <workbookView xWindow="-110" yWindow="-110" windowWidth="22780" windowHeight="14660" xr2:uid="{00000000-000D-0000-FFFF-FFFF00000000}"/>
  </bookViews>
  <sheets>
    <sheet name="Alan_Cova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" i="1" l="1"/>
  <c r="O3" i="1"/>
  <c r="P3" i="1"/>
  <c r="P4" i="1" s="1"/>
  <c r="O12" i="1"/>
  <c r="P13" i="1"/>
  <c r="P14" i="1" s="1"/>
  <c r="F13" i="1"/>
  <c r="F14" i="1"/>
  <c r="G14" i="1"/>
  <c r="F15" i="1"/>
  <c r="G15" i="1"/>
  <c r="H15" i="1"/>
  <c r="F16" i="1"/>
  <c r="G16" i="1"/>
  <c r="H16" i="1"/>
  <c r="I16" i="1"/>
  <c r="F17" i="1"/>
  <c r="G17" i="1"/>
  <c r="H17" i="1"/>
  <c r="I17" i="1"/>
  <c r="J17" i="1"/>
  <c r="F18" i="1"/>
  <c r="G18" i="1"/>
  <c r="H18" i="1"/>
  <c r="I18" i="1"/>
  <c r="J18" i="1"/>
  <c r="K18" i="1"/>
  <c r="F19" i="1"/>
  <c r="G19" i="1"/>
  <c r="H19" i="1"/>
  <c r="I19" i="1"/>
  <c r="J19" i="1"/>
  <c r="K19" i="1"/>
  <c r="L19" i="1"/>
  <c r="O14" i="1" l="1"/>
  <c r="P15" i="1"/>
  <c r="O4" i="1"/>
  <c r="P5" i="1"/>
  <c r="O13" i="1"/>
  <c r="P6" i="1" l="1"/>
  <c r="O5" i="1"/>
  <c r="P16" i="1"/>
  <c r="O15" i="1"/>
  <c r="P17" i="1" l="1"/>
  <c r="O16" i="1"/>
  <c r="P7" i="1"/>
  <c r="O6" i="1"/>
  <c r="O7" i="1" l="1"/>
  <c r="P8" i="1"/>
  <c r="O17" i="1"/>
  <c r="P18" i="1"/>
  <c r="P9" i="1" l="1"/>
  <c r="O9" i="1" s="1"/>
  <c r="O8" i="1"/>
  <c r="O18" i="1"/>
  <c r="P19" i="1"/>
  <c r="O19" i="1" s="1"/>
  <c r="D2" i="1" l="1"/>
  <c r="D3" i="1"/>
  <c r="H3" i="1"/>
  <c r="H2" i="1"/>
  <c r="L3" i="1"/>
  <c r="K3" i="1"/>
  <c r="J3" i="1"/>
  <c r="I3" i="1"/>
  <c r="L2" i="1"/>
  <c r="K2" i="1"/>
  <c r="J2" i="1"/>
  <c r="I2" i="1"/>
  <c r="F6" i="1" l="1"/>
  <c r="G6" i="1"/>
  <c r="H6" i="1"/>
  <c r="I6" i="1"/>
  <c r="L9" i="1"/>
  <c r="K9" i="1"/>
  <c r="J9" i="1"/>
  <c r="I9" i="1"/>
  <c r="H9" i="1"/>
  <c r="G9" i="1"/>
  <c r="F9" i="1"/>
  <c r="K8" i="1"/>
  <c r="J8" i="1"/>
  <c r="I8" i="1"/>
  <c r="H8" i="1"/>
  <c r="G8" i="1"/>
  <c r="F8" i="1"/>
  <c r="J7" i="1"/>
  <c r="I7" i="1"/>
  <c r="H7" i="1"/>
  <c r="G7" i="1"/>
  <c r="F7" i="1"/>
  <c r="H5" i="1"/>
  <c r="G5" i="1"/>
  <c r="F5" i="1"/>
  <c r="G4" i="1"/>
  <c r="F4" i="1"/>
  <c r="F3" i="1"/>
</calcChain>
</file>

<file path=xl/sharedStrings.xml><?xml version="1.0" encoding="utf-8"?>
<sst xmlns="http://schemas.openxmlformats.org/spreadsheetml/2006/main" count="45" uniqueCount="19">
  <si>
    <t>Use</t>
  </si>
  <si>
    <t>E[r]</t>
  </si>
  <si>
    <t>Sigma</t>
  </si>
  <si>
    <t>HF</t>
  </si>
  <si>
    <t>BHMC</t>
  </si>
  <si>
    <t>Equity</t>
  </si>
  <si>
    <t>RE</t>
  </si>
  <si>
    <t>Art</t>
  </si>
  <si>
    <t>Bitcoin</t>
  </si>
  <si>
    <t>Cash</t>
  </si>
  <si>
    <t>Det</t>
  </si>
  <si>
    <t>Crisis Beta</t>
  </si>
  <si>
    <t>VC</t>
  </si>
  <si>
    <t>Corr</t>
  </si>
  <si>
    <t>JumpCorr</t>
  </si>
  <si>
    <t>E[Jump]</t>
  </si>
  <si>
    <t>***</t>
  </si>
  <si>
    <t>*****</t>
  </si>
  <si>
    <t>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</si>
</sst>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/>
    <xf numFmtId="0" fontId="19" fillId="0" borderId="0" xfId="0" applyFont="1"/>
    <xf numFmtId="9" fontId="19" fillId="0" borderId="0" xfId="0" applyNumberFormat="1" applyFont="1"/>
    <xf numFmtId="10" fontId="19" fillId="0" borderId="0" xfId="0" applyNumberFormat="1" applyFont="1"/>
    <xf numFmtId="164" fontId="19" fillId="0" borderId="0" xfId="0" applyNumberFormat="1" applyFont="1"/>
    <xf numFmtId="0" fontId="20" fillId="0" borderId="0" xfId="0" applyFont="1"/>
    <xf numFmtId="43" fontId="20" fillId="0" borderId="0" xfId="1" applyFont="1"/>
    <xf numFmtId="43" fontId="0" fillId="0" borderId="0" xfId="1" applyFont="1"/>
    <xf numFmtId="0" fontId="0" fillId="0" borderId="0" xfId="0" applyAlignment="1">
      <alignment horizontal="right" wrapText="1"/>
    </xf>
    <xf numFmtId="2" fontId="19" fillId="0" borderId="0" xfId="0" applyNumberFormat="1" applyFont="1"/>
    <xf numFmtId="0" fontId="0" fillId="0" borderId="0" xfId="0" applyFill="1" applyAlignment="1">
      <alignment horizontal="right"/>
    </xf>
    <xf numFmtId="43" fontId="0" fillId="0" borderId="0" xfId="1" applyFont="1" applyFill="1"/>
    <xf numFmtId="0" fontId="0" fillId="0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0"/>
  <sheetViews>
    <sheetView tabSelected="1" workbookViewId="0">
      <selection activeCell="K15" sqref="K15"/>
    </sheetView>
  </sheetViews>
  <sheetFormatPr defaultRowHeight="14.5" x14ac:dyDescent="0.35"/>
  <cols>
    <col min="4" max="4" width="9.36328125" bestFit="1" customWidth="1"/>
    <col min="17" max="17" width="9.453125" style="13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11</v>
      </c>
      <c r="E1" t="s">
        <v>13</v>
      </c>
      <c r="F1" t="s">
        <v>3</v>
      </c>
      <c r="G1" t="s">
        <v>4</v>
      </c>
      <c r="H1" t="s">
        <v>5</v>
      </c>
      <c r="I1" t="s">
        <v>6</v>
      </c>
      <c r="J1" t="s">
        <v>12</v>
      </c>
      <c r="K1" t="s">
        <v>7</v>
      </c>
      <c r="L1" t="s">
        <v>8</v>
      </c>
      <c r="M1" t="s">
        <v>9</v>
      </c>
      <c r="O1" s="6" t="s">
        <v>10</v>
      </c>
      <c r="Q1" s="11"/>
      <c r="R1" s="9"/>
    </row>
    <row r="2" spans="1:18" x14ac:dyDescent="0.35">
      <c r="A2" s="2">
        <v>1</v>
      </c>
      <c r="B2" s="3">
        <v>0.1</v>
      </c>
      <c r="C2" s="4">
        <v>0.12</v>
      </c>
      <c r="D2" s="5">
        <f>-0.6</f>
        <v>-0.6</v>
      </c>
      <c r="E2" t="s">
        <v>3</v>
      </c>
      <c r="F2">
        <v>1</v>
      </c>
      <c r="G2" s="2">
        <v>0.8</v>
      </c>
      <c r="H2" s="2">
        <f>-0.5</f>
        <v>-0.5</v>
      </c>
      <c r="I2" s="2">
        <f>-0.3</f>
        <v>-0.3</v>
      </c>
      <c r="J2" s="2">
        <f t="shared" ref="J2:L3" si="0">-0.2</f>
        <v>-0.2</v>
      </c>
      <c r="K2" s="2">
        <f t="shared" si="0"/>
        <v>-0.2</v>
      </c>
      <c r="L2" s="2">
        <f t="shared" si="0"/>
        <v>-0.2</v>
      </c>
      <c r="M2" s="2">
        <v>0</v>
      </c>
      <c r="O2" s="7">
        <f ca="1">MDETERM(OFFSET($F$2,0,0,P2,P2))</f>
        <v>1</v>
      </c>
      <c r="P2" s="1">
        <v>1</v>
      </c>
      <c r="Q2" s="12"/>
      <c r="R2" s="8"/>
    </row>
    <row r="3" spans="1:18" x14ac:dyDescent="0.35">
      <c r="A3" s="2">
        <v>1</v>
      </c>
      <c r="B3" s="3">
        <v>0.1</v>
      </c>
      <c r="C3" s="4">
        <v>0.3</v>
      </c>
      <c r="D3" s="5">
        <f>-0.1</f>
        <v>-0.1</v>
      </c>
      <c r="E3" t="s">
        <v>4</v>
      </c>
      <c r="F3">
        <f>G2</f>
        <v>0.8</v>
      </c>
      <c r="G3">
        <v>1</v>
      </c>
      <c r="H3" s="2">
        <f>-0.3</f>
        <v>-0.3</v>
      </c>
      <c r="I3" s="2">
        <f>-0.3</f>
        <v>-0.3</v>
      </c>
      <c r="J3" s="2">
        <f t="shared" si="0"/>
        <v>-0.2</v>
      </c>
      <c r="K3" s="2">
        <f t="shared" si="0"/>
        <v>-0.2</v>
      </c>
      <c r="L3" s="2">
        <f t="shared" si="0"/>
        <v>-0.2</v>
      </c>
      <c r="M3" s="2">
        <v>0</v>
      </c>
      <c r="O3" s="7">
        <f t="shared" ref="O3:O9" ca="1" si="1">MDETERM(OFFSET($F$2,0,0,P3,P3))</f>
        <v>0.35999999999999988</v>
      </c>
      <c r="P3" s="1">
        <f t="shared" ref="P3:P9" si="2">P2+1</f>
        <v>2</v>
      </c>
      <c r="Q3" s="12"/>
      <c r="R3" s="8"/>
    </row>
    <row r="4" spans="1:18" x14ac:dyDescent="0.35">
      <c r="A4" s="2">
        <v>1</v>
      </c>
      <c r="B4" s="3">
        <v>0.06</v>
      </c>
      <c r="C4" s="4">
        <v>0.18</v>
      </c>
      <c r="D4" s="5">
        <v>1</v>
      </c>
      <c r="E4" t="s">
        <v>5</v>
      </c>
      <c r="F4">
        <f>H2</f>
        <v>-0.5</v>
      </c>
      <c r="G4">
        <f>H3</f>
        <v>-0.3</v>
      </c>
      <c r="H4">
        <v>1</v>
      </c>
      <c r="I4" s="2">
        <v>0.7</v>
      </c>
      <c r="J4" s="2">
        <v>0.8</v>
      </c>
      <c r="K4" s="2">
        <v>0.6</v>
      </c>
      <c r="L4" s="2">
        <v>0.3</v>
      </c>
      <c r="M4" s="2">
        <v>0</v>
      </c>
      <c r="O4" s="7">
        <f t="shared" ca="1" si="1"/>
        <v>0.2599999999999999</v>
      </c>
      <c r="P4" s="1">
        <f t="shared" si="2"/>
        <v>3</v>
      </c>
      <c r="Q4" s="12"/>
      <c r="R4" s="8"/>
    </row>
    <row r="5" spans="1:18" x14ac:dyDescent="0.35">
      <c r="A5" s="2">
        <v>1</v>
      </c>
      <c r="B5" s="3">
        <v>0.06</v>
      </c>
      <c r="C5" s="4">
        <v>0.22</v>
      </c>
      <c r="D5" s="5">
        <v>1</v>
      </c>
      <c r="E5" t="s">
        <v>6</v>
      </c>
      <c r="F5">
        <f>I2</f>
        <v>-0.3</v>
      </c>
      <c r="G5">
        <f>I3</f>
        <v>-0.3</v>
      </c>
      <c r="H5">
        <f>I4</f>
        <v>0.7</v>
      </c>
      <c r="I5">
        <v>1</v>
      </c>
      <c r="J5" s="2">
        <v>0.6</v>
      </c>
      <c r="K5" s="2">
        <v>0.5</v>
      </c>
      <c r="L5" s="2">
        <v>0.3</v>
      </c>
      <c r="M5" s="2">
        <v>0</v>
      </c>
      <c r="O5" s="7">
        <f t="shared" ca="1" si="1"/>
        <v>0.11839999999999996</v>
      </c>
      <c r="P5" s="1">
        <f t="shared" si="2"/>
        <v>4</v>
      </c>
      <c r="Q5" s="12"/>
      <c r="R5" s="8"/>
    </row>
    <row r="6" spans="1:18" x14ac:dyDescent="0.35">
      <c r="A6" s="2">
        <v>1</v>
      </c>
      <c r="B6" s="3">
        <v>0.08</v>
      </c>
      <c r="C6" s="4">
        <v>0.4</v>
      </c>
      <c r="D6" s="5">
        <v>1.2</v>
      </c>
      <c r="E6" t="s">
        <v>12</v>
      </c>
      <c r="F6">
        <f>J2</f>
        <v>-0.2</v>
      </c>
      <c r="G6">
        <f>J3</f>
        <v>-0.2</v>
      </c>
      <c r="H6">
        <f>J4</f>
        <v>0.8</v>
      </c>
      <c r="I6">
        <f>J5</f>
        <v>0.6</v>
      </c>
      <c r="J6">
        <v>1</v>
      </c>
      <c r="K6" s="2">
        <v>0.5</v>
      </c>
      <c r="L6" s="2">
        <v>0.5</v>
      </c>
      <c r="M6" s="2">
        <v>0</v>
      </c>
      <c r="O6" s="7">
        <f t="shared" ca="1" si="1"/>
        <v>3.0079999999999971E-2</v>
      </c>
      <c r="P6" s="1">
        <f t="shared" si="2"/>
        <v>5</v>
      </c>
      <c r="Q6" s="12"/>
      <c r="R6" s="8"/>
    </row>
    <row r="7" spans="1:18" x14ac:dyDescent="0.35">
      <c r="A7" s="2">
        <v>1</v>
      </c>
      <c r="B7" s="3">
        <v>0.05</v>
      </c>
      <c r="C7" s="4">
        <v>0.3</v>
      </c>
      <c r="D7" s="10">
        <v>0.75</v>
      </c>
      <c r="E7" t="s">
        <v>7</v>
      </c>
      <c r="F7">
        <f>K2</f>
        <v>-0.2</v>
      </c>
      <c r="G7">
        <f>K3</f>
        <v>-0.2</v>
      </c>
      <c r="H7">
        <f>K4</f>
        <v>0.6</v>
      </c>
      <c r="I7">
        <f>K5</f>
        <v>0.5</v>
      </c>
      <c r="J7">
        <f>K6</f>
        <v>0.5</v>
      </c>
      <c r="K7">
        <v>1</v>
      </c>
      <c r="L7" s="2">
        <v>0.5</v>
      </c>
      <c r="M7" s="2">
        <v>0</v>
      </c>
      <c r="O7" s="7">
        <f t="shared" ca="1" si="1"/>
        <v>1.7543999999999987E-2</v>
      </c>
      <c r="P7" s="1">
        <f t="shared" si="2"/>
        <v>6</v>
      </c>
      <c r="Q7" s="12"/>
      <c r="R7" s="8"/>
    </row>
    <row r="8" spans="1:18" x14ac:dyDescent="0.35">
      <c r="A8" s="2">
        <v>1</v>
      </c>
      <c r="B8" s="3">
        <v>0.15</v>
      </c>
      <c r="C8" s="4">
        <v>0.8</v>
      </c>
      <c r="D8" s="5">
        <v>0.5</v>
      </c>
      <c r="E8" t="s">
        <v>8</v>
      </c>
      <c r="F8">
        <f>L2</f>
        <v>-0.2</v>
      </c>
      <c r="G8">
        <f>L3</f>
        <v>-0.2</v>
      </c>
      <c r="H8">
        <f>L4</f>
        <v>0.3</v>
      </c>
      <c r="I8">
        <f>L5</f>
        <v>0.3</v>
      </c>
      <c r="J8">
        <f>L6</f>
        <v>0.5</v>
      </c>
      <c r="K8">
        <f>L7</f>
        <v>0.5</v>
      </c>
      <c r="L8">
        <v>1</v>
      </c>
      <c r="M8" s="2">
        <v>0</v>
      </c>
      <c r="O8" s="7">
        <f t="shared" ca="1" si="1"/>
        <v>7.524399999999991E-3</v>
      </c>
      <c r="P8" s="1">
        <f t="shared" si="2"/>
        <v>7</v>
      </c>
      <c r="Q8" s="12"/>
      <c r="R8" s="8"/>
    </row>
    <row r="9" spans="1:18" x14ac:dyDescent="0.35">
      <c r="A9" s="2">
        <v>1</v>
      </c>
      <c r="B9" s="3">
        <v>0</v>
      </c>
      <c r="C9" s="4">
        <v>0</v>
      </c>
      <c r="D9" s="5">
        <v>0</v>
      </c>
      <c r="E9" t="s">
        <v>9</v>
      </c>
      <c r="F9">
        <f>M2</f>
        <v>0</v>
      </c>
      <c r="G9">
        <f>M3</f>
        <v>0</v>
      </c>
      <c r="H9">
        <f>M4</f>
        <v>0</v>
      </c>
      <c r="I9">
        <f>M5</f>
        <v>0</v>
      </c>
      <c r="J9">
        <f>M6</f>
        <v>0</v>
      </c>
      <c r="K9">
        <f>M7</f>
        <v>0</v>
      </c>
      <c r="L9">
        <f>M8</f>
        <v>0</v>
      </c>
      <c r="M9">
        <v>1</v>
      </c>
      <c r="O9" s="7">
        <f t="shared" ca="1" si="1"/>
        <v>7.524399999999991E-3</v>
      </c>
      <c r="P9" s="1">
        <f t="shared" si="2"/>
        <v>8</v>
      </c>
      <c r="Q9" s="12"/>
      <c r="R9" s="8"/>
    </row>
    <row r="10" spans="1:18" x14ac:dyDescent="0.35">
      <c r="A10" t="s">
        <v>16</v>
      </c>
    </row>
    <row r="11" spans="1:18" x14ac:dyDescent="0.35">
      <c r="B11" t="s">
        <v>15</v>
      </c>
      <c r="C11" t="s">
        <v>2</v>
      </c>
      <c r="D11" t="s">
        <v>18</v>
      </c>
      <c r="E11" t="s">
        <v>14</v>
      </c>
      <c r="F11" t="s">
        <v>3</v>
      </c>
      <c r="G11" t="s">
        <v>4</v>
      </c>
      <c r="H11" t="s">
        <v>5</v>
      </c>
      <c r="I11" t="s">
        <v>6</v>
      </c>
      <c r="J11" t="s">
        <v>12</v>
      </c>
      <c r="K11" t="s">
        <v>7</v>
      </c>
      <c r="L11" t="s">
        <v>8</v>
      </c>
      <c r="M11" t="s">
        <v>9</v>
      </c>
      <c r="O11" s="6" t="s">
        <v>10</v>
      </c>
    </row>
    <row r="12" spans="1:18" x14ac:dyDescent="0.35">
      <c r="A12" s="2"/>
      <c r="B12" s="3">
        <v>-0.2</v>
      </c>
      <c r="C12" s="4">
        <v>0.1</v>
      </c>
      <c r="D12" s="4">
        <v>0.05</v>
      </c>
      <c r="E12" t="s">
        <v>3</v>
      </c>
      <c r="F12">
        <v>1</v>
      </c>
      <c r="G12" s="2">
        <v>0.8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O12" s="7">
        <f t="shared" ref="O12:O19" ca="1" si="3">MDETERM(OFFSET($F$12,0,0,P12,P12))</f>
        <v>1</v>
      </c>
      <c r="P12" s="1">
        <v>1</v>
      </c>
    </row>
    <row r="13" spans="1:18" x14ac:dyDescent="0.35">
      <c r="A13" s="2"/>
      <c r="B13" s="3">
        <v>-0.6</v>
      </c>
      <c r="C13" s="4">
        <v>0.3</v>
      </c>
      <c r="D13" s="4">
        <v>0.05</v>
      </c>
      <c r="E13" t="s">
        <v>4</v>
      </c>
      <c r="F13">
        <f>G12</f>
        <v>0.8</v>
      </c>
      <c r="G13">
        <v>1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O13" s="7">
        <f t="shared" ca="1" si="3"/>
        <v>0.35999999999999988</v>
      </c>
      <c r="P13" s="1">
        <f t="shared" ref="P13:P19" si="4">P12+1</f>
        <v>2</v>
      </c>
    </row>
    <row r="14" spans="1:18" x14ac:dyDescent="0.35">
      <c r="A14" s="2"/>
      <c r="B14" s="3">
        <v>0</v>
      </c>
      <c r="C14" s="4">
        <v>0</v>
      </c>
      <c r="D14" s="4">
        <v>0</v>
      </c>
      <c r="E14" t="s">
        <v>5</v>
      </c>
      <c r="F14">
        <f>H12</f>
        <v>0</v>
      </c>
      <c r="G14">
        <f>H13</f>
        <v>0</v>
      </c>
      <c r="H14">
        <v>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O14" s="7">
        <f t="shared" ca="1" si="3"/>
        <v>0.35999999999999988</v>
      </c>
      <c r="P14" s="1">
        <f t="shared" si="4"/>
        <v>3</v>
      </c>
    </row>
    <row r="15" spans="1:18" x14ac:dyDescent="0.35">
      <c r="A15" s="2"/>
      <c r="B15" s="3">
        <v>0</v>
      </c>
      <c r="C15" s="4">
        <v>0</v>
      </c>
      <c r="D15" s="4">
        <v>0</v>
      </c>
      <c r="E15" t="s">
        <v>6</v>
      </c>
      <c r="F15">
        <f>I12</f>
        <v>0</v>
      </c>
      <c r="G15">
        <f>I13</f>
        <v>0</v>
      </c>
      <c r="H15">
        <f>I14</f>
        <v>0</v>
      </c>
      <c r="I15">
        <v>1</v>
      </c>
      <c r="J15" s="2">
        <v>0</v>
      </c>
      <c r="K15" s="2">
        <v>0</v>
      </c>
      <c r="L15" s="2">
        <v>0</v>
      </c>
      <c r="M15" s="2">
        <v>0</v>
      </c>
      <c r="O15" s="7">
        <f t="shared" ca="1" si="3"/>
        <v>0.35999999999999988</v>
      </c>
      <c r="P15" s="1">
        <f t="shared" si="4"/>
        <v>4</v>
      </c>
    </row>
    <row r="16" spans="1:18" x14ac:dyDescent="0.35">
      <c r="A16" s="2"/>
      <c r="B16" s="3">
        <v>0</v>
      </c>
      <c r="C16" s="4">
        <v>0</v>
      </c>
      <c r="D16" s="4">
        <v>0</v>
      </c>
      <c r="E16" t="s">
        <v>12</v>
      </c>
      <c r="F16">
        <f>J12</f>
        <v>0</v>
      </c>
      <c r="G16">
        <f>J13</f>
        <v>0</v>
      </c>
      <c r="H16">
        <f>J14</f>
        <v>0</v>
      </c>
      <c r="I16">
        <f>J15</f>
        <v>0</v>
      </c>
      <c r="J16">
        <v>1</v>
      </c>
      <c r="K16" s="2">
        <v>0</v>
      </c>
      <c r="L16" s="2">
        <v>0</v>
      </c>
      <c r="M16" s="2">
        <v>0</v>
      </c>
      <c r="O16" s="7">
        <f t="shared" ca="1" si="3"/>
        <v>0.35999999999999988</v>
      </c>
      <c r="P16" s="1">
        <f t="shared" si="4"/>
        <v>5</v>
      </c>
    </row>
    <row r="17" spans="1:16" x14ac:dyDescent="0.35">
      <c r="A17" s="2"/>
      <c r="B17" s="3">
        <v>0</v>
      </c>
      <c r="C17" s="4">
        <v>0</v>
      </c>
      <c r="D17" s="4">
        <v>0</v>
      </c>
      <c r="E17" t="s">
        <v>7</v>
      </c>
      <c r="F17">
        <f>K12</f>
        <v>0</v>
      </c>
      <c r="G17">
        <f>K13</f>
        <v>0</v>
      </c>
      <c r="H17">
        <f>K14</f>
        <v>0</v>
      </c>
      <c r="I17">
        <f>K15</f>
        <v>0</v>
      </c>
      <c r="J17">
        <f>K16</f>
        <v>0</v>
      </c>
      <c r="K17">
        <v>1</v>
      </c>
      <c r="L17" s="2">
        <v>0</v>
      </c>
      <c r="M17" s="2">
        <v>0</v>
      </c>
      <c r="O17" s="7">
        <f t="shared" ca="1" si="3"/>
        <v>0.35999999999999988</v>
      </c>
      <c r="P17" s="1">
        <f t="shared" si="4"/>
        <v>6</v>
      </c>
    </row>
    <row r="18" spans="1:16" x14ac:dyDescent="0.35">
      <c r="A18" s="2"/>
      <c r="B18" s="3">
        <v>0</v>
      </c>
      <c r="C18" s="4">
        <v>0</v>
      </c>
      <c r="D18" s="4">
        <v>0</v>
      </c>
      <c r="E18" t="s">
        <v>8</v>
      </c>
      <c r="F18">
        <f>L12</f>
        <v>0</v>
      </c>
      <c r="G18">
        <f>L13</f>
        <v>0</v>
      </c>
      <c r="H18">
        <f>L14</f>
        <v>0</v>
      </c>
      <c r="I18">
        <f>L15</f>
        <v>0</v>
      </c>
      <c r="J18">
        <f>L16</f>
        <v>0</v>
      </c>
      <c r="K18">
        <f>L17</f>
        <v>0</v>
      </c>
      <c r="L18">
        <v>1</v>
      </c>
      <c r="M18" s="2">
        <v>0</v>
      </c>
      <c r="O18" s="7">
        <f t="shared" ca="1" si="3"/>
        <v>0.35999999999999988</v>
      </c>
      <c r="P18" s="1">
        <f t="shared" si="4"/>
        <v>7</v>
      </c>
    </row>
    <row r="19" spans="1:16" x14ac:dyDescent="0.35">
      <c r="A19" s="2"/>
      <c r="B19" s="3">
        <v>0</v>
      </c>
      <c r="C19" s="4">
        <v>0</v>
      </c>
      <c r="D19" s="4">
        <v>0</v>
      </c>
      <c r="E19" t="s">
        <v>9</v>
      </c>
      <c r="F19">
        <f>M12</f>
        <v>0</v>
      </c>
      <c r="G19">
        <f>M13</f>
        <v>0</v>
      </c>
      <c r="H19">
        <f>M14</f>
        <v>0</v>
      </c>
      <c r="I19">
        <f>M15</f>
        <v>0</v>
      </c>
      <c r="J19">
        <f>M16</f>
        <v>0</v>
      </c>
      <c r="K19">
        <f>M17</f>
        <v>0</v>
      </c>
      <c r="L19">
        <f>M18</f>
        <v>0</v>
      </c>
      <c r="M19">
        <v>1</v>
      </c>
      <c r="O19" s="7">
        <f t="shared" ca="1" si="3"/>
        <v>0.35999999999999988</v>
      </c>
      <c r="P19" s="1">
        <f t="shared" si="4"/>
        <v>8</v>
      </c>
    </row>
    <row r="20" spans="1:16" x14ac:dyDescent="0.35">
      <c r="A20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Alan_Covar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James White</cp:lastModifiedBy>
  <dcterms:created xsi:type="dcterms:W3CDTF">2020-11-26T18:04:53Z</dcterms:created>
  <dcterms:modified xsi:type="dcterms:W3CDTF">2020-12-05T23:58:27Z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08e341db-7b2b-40fc-8cf9-343b9b2921e0</vt:lpwstr>
  </property>
</Properties>
</file>